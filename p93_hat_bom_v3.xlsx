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— 5 builds" sheetId="1" state="visible" r:id="rId3"/>
    <sheet name="Filter summary" sheetId="2" state="visible" r:id="rId4"/>
    <sheet name="Design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<sst xmlns="http://schemas.openxmlformats.org/spreadsheetml/2006/main" count="255" uniqueCount="214">
  <si>
    <t xml:space="preserve">Section</t>
  </si>
  <si>
    <t xml:space="preserve">Ref</t>
  </si>
  <si>
    <t xml:space="preserve">Description</t>
  </si>
  <si>
    <t xml:space="preserve">Value / Spec</t>
  </si>
  <si>
    <t xml:space="preserve">Package</t>
  </si>
  <si>
    <t xml:space="preserve">Qty/board</t>
  </si>
  <si>
    <t xml:space="preserve">Builds</t>
  </si>
  <si>
    <t xml:space="preserve">Total qty</t>
  </si>
  <si>
    <t xml:space="preserve">Notes / suggested part</t>
  </si>
  <si>
    <t xml:space="preserve">Mfr Part #</t>
  </si>
  <si>
    <t xml:space="preserve">DigiKey URL</t>
  </si>
  <si>
    <t xml:space="preserve">Stage 1 — RC filter (5V input)</t>
  </si>
  <si>
    <t xml:space="preserve">R_IN</t>
  </si>
  <si>
    <t xml:space="preserve">Series resistor, 5V feed</t>
  </si>
  <si>
    <t xml:space="preserve">4.7Ω 1/4W metal film</t>
  </si>
  <si>
    <t xml:space="preserve">Axial TH</t>
  </si>
  <si>
    <t xml:space="preserve">Limits Vdrop to &lt;0.5V @ 100mA; fc=340Hz with C_IN</t>
  </si>
  <si>
    <t xml:space="preserve">RN60D4R70FB14</t>
  </si>
  <si>
    <t xml:space="preserve">C_IN1</t>
  </si>
  <si>
    <t xml:space="preserve">Bulk electrolytic, input</t>
  </si>
  <si>
    <t xml:space="preserve">100µF / 16V low-ESR</t>
  </si>
  <si>
    <t xml:space="preserve">Radial TH</t>
  </si>
  <si>
    <t xml:space="preserve">Panasonic FR or Nichicon UHE series</t>
  </si>
  <si>
    <t xml:space="preserve">EEU-FR1C101B</t>
  </si>
  <si>
    <t xml:space="preserve">C_IN2</t>
  </si>
  <si>
    <t xml:space="preserve">Ceramic bypass, input</t>
  </si>
  <si>
    <t xml:space="preserve">1µF / 50V ceramic disc</t>
  </si>
  <si>
    <t xml:space="preserve">Disc TH P5.08mm</t>
  </si>
  <si>
    <t xml:space="preserve">In parallel with C_IN1; HF bypass</t>
  </si>
  <si>
    <t xml:space="preserve">C330C105K5R5TA7301</t>
  </si>
  <si>
    <t xml:space="preserve">DC-DC converter</t>
  </si>
  <si>
    <t xml:space="preserve">U1</t>
  </si>
  <si>
    <t xml:space="preserve">Isolated DC-DC converter</t>
  </si>
  <si>
    <t xml:space="preserve">NMH0515SC  5V→±15V 2W</t>
  </si>
  <si>
    <t xml:space="preserve">SIP-5 TH</t>
  </si>
  <si>
    <t xml:space="preserve">Murata; ±15V out, 67mA/rail, 1kV iso</t>
  </si>
  <si>
    <t xml:space="preserve">NMH0515SC</t>
  </si>
  <si>
    <t xml:space="preserve">R_BLEED</t>
  </si>
  <si>
    <t xml:space="preserve">Bleed resistor, −15V rail</t>
  </si>
  <si>
    <t xml:space="preserve">2.2kΩ 1/4W metal film</t>
  </si>
  <si>
    <t xml:space="preserve">NEW per datasheet: min load = 10% of rated (6.7mA per rail). −15V rail is otherwise unloaded — without this, Vout may rise to 2× spec. 2.2kΩ draws 6.8mA @ 15V, dissipates 100mW (use 1/4W min).</t>
  </si>
  <si>
    <t xml:space="preserve">RN60D2201FB14</t>
  </si>
  <si>
    <t xml:space="preserve">Linear regulator</t>
  </si>
  <si>
    <t xml:space="preserve">U2</t>
  </si>
  <si>
    <t xml:space="preserve">9V linear regulator</t>
  </si>
  <si>
    <t xml:space="preserve">MC7809CTG  9V 1A</t>
  </si>
  <si>
    <t xml:space="preserve">TO-220 TH</t>
  </si>
  <si>
    <t xml:space="preserve">onsemi; 2V dropout; no heatsink needed at 10mA load</t>
  </si>
  <si>
    <t xml:space="preserve">MC7809CTG</t>
  </si>
  <si>
    <t xml:space="preserve">C_NMH1</t>
  </si>
  <si>
    <t xml:space="preserve">Bulk cap, NMH +15V output</t>
  </si>
  <si>
    <t xml:space="preserve">10µF / 25V electrolytic</t>
  </si>
  <si>
    <t xml:space="preserve">Radial TH D5mm P5mm</t>
  </si>
  <si>
    <t xml:space="preserve">CHANGED to THT electrolytic (SMD 10µF/25V X7R not practical). Panasonic ECE-A1EN100UB. Polarity: (+) to +15V_f.</t>
  </si>
  <si>
    <t xml:space="preserve">ECE-A1EN100UB</t>
  </si>
  <si>
    <t xml:space="preserve">L_NMH</t>
  </si>
  <si>
    <t xml:space="preserve">Output inductor, NMH ripple filter</t>
  </si>
  <si>
    <t xml:space="preserve">100µH  SRF &gt;20MHz</t>
  </si>
  <si>
    <t xml:space="preserve">Through-hole</t>
  </si>
  <si>
    <t xml:space="preserve">Murata 11R104C — VERTICAL RADIAL (5mm dia, 7.5mm tall, 2mm pitch). KiCad footprint: Inductor_THT:L_Radial_D5.0mm_H7.5mm_P2.00mm. NOT horizontal axial.</t>
  </si>
  <si>
    <t xml:space="preserve">11R104C</t>
  </si>
  <si>
    <t xml:space="preserve">C_NMH3</t>
  </si>
  <si>
    <t xml:space="preserve">LC filter cap, NMH output</t>
  </si>
  <si>
    <t xml:space="preserve">4.7µF / 25V electrolytic</t>
  </si>
  <si>
    <t xml:space="preserve">Radial TH D5mm P2.5mm</t>
  </si>
  <si>
    <t xml:space="preserve">CHANGED from 3.3µF SMD ceramic: nearest std value above 3.3µF; same footprint CP_Radial_D5mm_P2.50mm; +/ISO_GND polarity</t>
  </si>
  <si>
    <t xml:space="preserve">UPW1E4R7MDD1TD</t>
  </si>
  <si>
    <t xml:space="preserve">C_NMH2</t>
  </si>
  <si>
    <t xml:space="preserve">Ceramic bypass, NMH +15V output</t>
  </si>
  <si>
    <t xml:space="preserve">100nF / 50V ceramic disc</t>
  </si>
  <si>
    <t xml:space="preserve">Disc TH P2.5mm</t>
  </si>
  <si>
    <t xml:space="preserve">In parallel with C_NMH1</t>
  </si>
  <si>
    <t xml:space="preserve">K104K15X7RF53L2</t>
  </si>
  <si>
    <t xml:space="preserve">C_REG1</t>
  </si>
  <si>
    <t xml:space="preserve">Bulk electrolytic, 7809 output</t>
  </si>
  <si>
    <t xml:space="preserve">Placed close to 7809 output pin</t>
  </si>
  <si>
    <t xml:space="preserve">C_REG2</t>
  </si>
  <si>
    <t xml:space="preserve">Ceramic bypass, 7809 output</t>
  </si>
  <si>
    <t xml:space="preserve">In parallel with C_REG1</t>
  </si>
  <si>
    <t xml:space="preserve">Stage 2 — RC filter (9V output)</t>
  </si>
  <si>
    <t xml:space="preserve">R_9V</t>
  </si>
  <si>
    <t xml:space="preserve">Series resistor, 9V rail</t>
  </si>
  <si>
    <t xml:space="preserve">47Ω 1/4W metal film</t>
  </si>
  <si>
    <t xml:space="preserve">Vdrop = 0.47V @ 10mA; fc=34Hz with C_9V1</t>
  </si>
  <si>
    <t xml:space="preserve">RN60D47R0FB14</t>
  </si>
  <si>
    <t xml:space="preserve">C_9V1</t>
  </si>
  <si>
    <t xml:space="preserve">Bulk electrolytic, post R_9V</t>
  </si>
  <si>
    <t xml:space="preserve">Main Stage 2 filter cap</t>
  </si>
  <si>
    <t xml:space="preserve">C_9V2</t>
  </si>
  <si>
    <t xml:space="preserve">Ceramic bypass, post R_9V</t>
  </si>
  <si>
    <t xml:space="preserve">In parallel with C_9V1</t>
  </si>
  <si>
    <t xml:space="preserve">Stage 3 — local bypass (per channel)</t>
  </si>
  <si>
    <t xml:space="preserve">C_LOC1A/B</t>
  </si>
  <si>
    <t xml:space="preserve">Local electrolytic, each preamp V+</t>
  </si>
  <si>
    <t xml:space="preserve">10µF / 16V</t>
  </si>
  <si>
    <t xml:space="preserve">One per channel; placed at preamp V+ pin</t>
  </si>
  <si>
    <t xml:space="preserve">C_LOC2A/B</t>
  </si>
  <si>
    <t xml:space="preserve">Local ceramic, each preamp V+</t>
  </si>
  <si>
    <t xml:space="preserve">100nF / 16V ceramic</t>
  </si>
  <si>
    <t xml:space="preserve">0805 or TH</t>
  </si>
  <si>
    <t xml:space="preserve">One per channel; in parallel with C_LOC1</t>
  </si>
  <si>
    <t xml:space="preserve">P93 preamp (per channel)</t>
  </si>
  <si>
    <t xml:space="preserve">Q1A/B</t>
  </si>
  <si>
    <t xml:space="preserve">NPN transistor (P93 Q1)</t>
  </si>
  <si>
    <t xml:space="preserve">BC549C or MPSA18</t>
  </si>
  <si>
    <t xml:space="preserve">TO-92 TH</t>
  </si>
  <si>
    <t xml:space="preserve">Low-noise NPN; 2 per board (one per channel)</t>
  </si>
  <si>
    <t xml:space="preserve">Q2A/B</t>
  </si>
  <si>
    <t xml:space="preserve">NPN transistor (P93 Q2)</t>
  </si>
  <si>
    <t xml:space="preserve">Matched pair with Q1 not required but beneficial</t>
  </si>
  <si>
    <t xml:space="preserve">R_FEED A/B</t>
  </si>
  <si>
    <t xml:space="preserve">EM272 capsule feed resistor</t>
  </si>
  <si>
    <t xml:space="preserve">10kΩ 1/4W metal film</t>
  </si>
  <si>
    <t xml:space="preserve">Sets capsule bias; 10k gives good headroom at 9V</t>
  </si>
  <si>
    <t xml:space="preserve">R1–R8 A/B</t>
  </si>
  <si>
    <t xml:space="preserve">P93 resistor set (per channel)</t>
  </si>
  <si>
    <t xml:space="preserve">Metal film 1% — see P93 BOM</t>
  </si>
  <si>
    <t xml:space="preserve">8 resistors per channel per P93 schematic; all metal film</t>
  </si>
  <si>
    <t xml:space="preserve">C1–C6 A/B</t>
  </si>
  <si>
    <t xml:space="preserve">P93 capacitor set (per channel)</t>
  </si>
  <si>
    <t xml:space="preserve">Per P93 schematic</t>
  </si>
  <si>
    <t xml:space="preserve">C5/C6 = 100µF for measurement; 33µF for recording</t>
  </si>
  <si>
    <t xml:space="preserve">FB1A/B</t>
  </si>
  <si>
    <t xml:space="preserve">Ferrite bead, preamp outputs</t>
  </si>
  <si>
    <t xml:space="preserve">600Ω @ 100MHz  e.g. BLM18AG601</t>
  </si>
  <si>
    <t xml:space="preserve">0603 or TH</t>
  </si>
  <si>
    <t xml:space="preserve">P93 recommends ferrite at each output; F1/F2 in schematic</t>
  </si>
  <si>
    <t xml:space="preserve">Optional / recommended</t>
  </si>
  <si>
    <t xml:space="preserve">FB_IN</t>
  </si>
  <si>
    <t xml:space="preserve">Ferrite bead, 5V HAT feed</t>
  </si>
  <si>
    <t xml:space="preserve">Between RPi 5V pin and R_IN; adds HF attenuation before RC</t>
  </si>
  <si>
    <t xml:space="preserve">J1</t>
  </si>
  <si>
    <t xml:space="preserve">40-pin RPi HAT header (female)</t>
  </si>
  <si>
    <t xml:space="preserve">2×20 2.54mm female</t>
  </si>
  <si>
    <t xml:space="preserve">TH</t>
  </si>
  <si>
    <t xml:space="preserve">Standard RPi HAT connector</t>
  </si>
  <si>
    <t xml:space="preserve">61201621621</t>
  </si>
  <si>
    <t xml:space="preserve">J2/J3</t>
  </si>
  <si>
    <t xml:space="preserve">XLR connector (balanced out)</t>
  </si>
  <si>
    <t xml:space="preserve">Neutrik NC3FAH2 or equiv</t>
  </si>
  <si>
    <t xml:space="preserve">Panel/PCB</t>
  </si>
  <si>
    <t xml:space="preserve">One per channel; pin2 hot, pin3 cold, pin1 GND</t>
  </si>
  <si>
    <t xml:space="preserve">TOTAL UNIQUE LINE ITEMS</t>
  </si>
  <si>
    <t xml:space="preserve">Total components across all 5 builds</t>
  </si>
  <si>
    <t xml:space="preserve">Stage</t>
  </si>
  <si>
    <t xml:space="preserve">Components</t>
  </si>
  <si>
    <t xml:space="preserve">Corner freq (fc)</t>
  </si>
  <si>
    <t xml:space="preserve">Atten @ 150kHz</t>
  </si>
  <si>
    <t xml:space="preserve">Purpose</t>
  </si>
  <si>
    <t xml:space="preserve">Stage 1 — RC (5V feed)</t>
  </si>
  <si>
    <t xml:space="preserve">R_IN 4.7Ω + C_IN1 100µF</t>
  </si>
  <si>
    <t xml:space="preserve">~340 Hz</t>
  </si>
  <si>
    <t xml:space="preserve">~53 dB</t>
  </si>
  <si>
    <t xml:space="preserve">Attenuates Pi switching noise before it enters converter</t>
  </si>
  <si>
    <t xml:space="preserve">NMH0515SC isolation</t>
  </si>
  <si>
    <t xml:space="preserve">Galvanic barrier 1kV</t>
  </si>
  <si>
    <t xml:space="preserve">N/A</t>
  </si>
  <si>
    <t xml:space="preserve">60+ dB</t>
  </si>
  <si>
    <t xml:space="preserve">Breaks ground path; prevents common-mode noise coupling</t>
  </si>
  <si>
    <t xml:space="preserve">MC7809CTG PSRR</t>
  </si>
  <si>
    <t xml:space="preserve">Internal regulator</t>
  </si>
  <si>
    <t xml:space="preserve">N/A (spec)</t>
  </si>
  <si>
    <t xml:space="preserve">~40 dB @ 150kHz</t>
  </si>
  <si>
    <t xml:space="preserve">Rejects residual ripple on +15V rail</t>
  </si>
  <si>
    <t xml:space="preserve">Stage 2 — RC (9V rail)</t>
  </si>
  <si>
    <t xml:space="preserve">R_9V 47Ω + C_9V1 100µF</t>
  </si>
  <si>
    <t xml:space="preserve">~34 Hz</t>
  </si>
  <si>
    <t xml:space="preserve">~75 dB</t>
  </si>
  <si>
    <t xml:space="preserve">Second RC stage; very low fc due to low preamp current draw</t>
  </si>
  <si>
    <t xml:space="preserve">Stage 3 — local bypass</t>
  </si>
  <si>
    <t xml:space="preserve">C_LOC1 10µF + C_LOC2 100nF</t>
  </si>
  <si>
    <t xml:space="preserve">HF only</t>
  </si>
  <si>
    <t xml:space="preserve">~20 dB added</t>
  </si>
  <si>
    <t xml:space="preserve">Instantaneous charge reservoir at each preamp; prevents inter-channel coupling</t>
  </si>
  <si>
    <t xml:space="preserve">NMH LC output filter</t>
  </si>
  <si>
    <t xml:space="preserve">L_NMH 100µH + C_NMH3 3.3µF X7R</t>
  </si>
  <si>
    <t xml:space="preserve">resonance ~28kHz</t>
  </si>
  <si>
    <t xml:space="preserve">~30 dB @ 95kHz switching freq</t>
  </si>
  <si>
    <t xml:space="preserve">Reduces NMH ripple 150mV→5mV p-p before 7809 input</t>
  </si>
  <si>
    <t xml:space="preserve">TOTAL (stacked)</t>
  </si>
  <si>
    <t xml:space="preserve">All stages in series</t>
  </si>
  <si>
    <t xml:space="preserve">—</t>
  </si>
  <si>
    <t xml:space="preserve">~250 dB theoretical</t>
  </si>
  <si>
    <t xml:space="preserve">Practical limit set by PCB layout / ground quality</t>
  </si>
  <si>
    <t xml:space="preserve">Topic</t>
  </si>
  <si>
    <t xml:space="preserve">Note</t>
  </si>
  <si>
    <t xml:space="preserve">Voltage headroom</t>
  </si>
  <si>
    <t xml:space="preserve">NMH0515SC +15V output feeds MC7809CTG. Dropout = 2V, so min Vin = 11V. NMH delivers 14.82–15.18V (±1.2% spec), giving ≥3.8V headroom. ✓</t>
  </si>
  <si>
    <t xml:space="preserve">RPi 5V tolerance</t>
  </si>
  <si>
    <t xml:space="preserve">RPi 4B 5V GPIO: 4.75–5.25V. NMH Vin range: 4.5–5.5V. Even at low-end 4.75V, NMH operates within spec. ✓</t>
  </si>
  <si>
    <t xml:space="preserve">Stage 1 resistor value</t>
  </si>
  <si>
    <t xml:space="preserve">4.7Ω chosen so Vdrop ≤ 0.5V at 100mA worst-case NMH input current. Do not increase above 10Ω without rechecking NMH Vin min.</t>
  </si>
  <si>
    <t xml:space="preserve">Stage 2 resistor value</t>
  </si>
  <si>
    <t xml:space="preserve">47Ω is safe because both P93 channels draw only ~10mA total. Vdrop = 0.47V, leaving 8.53V — well within P93 operating range.</t>
  </si>
  <si>
    <t xml:space="preserve">Ground topology</t>
  </si>
  <si>
    <t xml:space="preserve">RPi primary GND and NMH secondary (audio) GND must connect at ONE point only (star ground at HAT power input). Multiple connections create ground loops.</t>
  </si>
  <si>
    <t xml:space="preserve">7809 heatsink</t>
  </si>
  <si>
    <t xml:space="preserve">Not required. Dissipation = (15−9)V × 10mA = 60mW. TO-220 junction-to-ambient ~50°C/W; ΔT ≈ 3°C above ambient.</t>
  </si>
  <si>
    <t xml:space="preserve">Electrolytic orientation</t>
  </si>
  <si>
    <t xml:space="preserve">C_IN1, C_NMH1, C_REG1, C_9V1, C_LOC1: observe polarity. All are on positive rails (5V, +15V, 9V) — positive terminal to rail.</t>
  </si>
  <si>
    <t xml:space="preserve">C5/C6 in P93</t>
  </si>
  <si>
    <t xml:space="preserve">P93 schematic notes C5/C6 polarity reverses for battery vs phantom power. On this supply (single positive rail), use standard orientation.</t>
  </si>
  <si>
    <t xml:space="preserve">EM272 feed resistor</t>
  </si>
  <si>
    <t xml:space="preserve">10kΩ at 9V gives ~0.85mA capsule bias — well within EM272 spec. Lower values (4.7kΩ) reduce output level but improve high-SPL headroom.</t>
  </si>
  <si>
    <t xml:space="preserve">PCB layout priority</t>
  </si>
  <si>
    <t xml:space="preserve">Place C_IN1/C_IN2 within 5mm of NMH Vin pins. Place C_REG1/C_REG2 within 5mm of 7809 output pin. C_LOC caps must be at preamp V+ pin, not at supply header.</t>
  </si>
  <si>
    <t xml:space="preserve">Ferrite bead (FB_IN)</t>
  </si>
  <si>
    <t xml:space="preserve">Optional but recommended. BLM18AG601SN1D (Murata) or equivalent 600Ω@100MHz. Placed between RPi 5V pin and R_IN on HAT. Adds ~20dB HF attenuation pre-RC.</t>
  </si>
  <si>
    <t xml:space="preserve">NMH min load — −15V rail</t>
  </si>
  <si>
    <t xml:space="preserve">DATASHEET REQUIREMENT: Min load = 10% of rated (6.7mA per rail). R_BLEED (2.2kΩ) added on −15V rail to GND ensures 6.8mA draw. Without this, unloaded rail voltage may rise to ~2× rated (≈30V), stressing the 7809 input and exceeding its abs max of 35V at temperature extremes.</t>
  </si>
  <si>
    <t xml:space="preserve">NMH output capacitance limit</t>
  </si>
  <si>
    <t xml:space="preserve">DATASHEET REQUIREMENT: Maximum recommended output capacitance = 10µF. C_NMH1 changed from 47µF to 10µF X7R ceramic. The datasheet states startup is possible into 47µF but not recommended; the NMH0515SC startup time with 10µF is already 5.38ms — larger caps risk stall on startup.</t>
  </si>
  <si>
    <t xml:space="preserve">NMH LC ripple filter (datasheet recommendation)</t>
  </si>
  <si>
    <t xml:space="preserve">DATASHEET RECOMMENDATION: L_NMH (100µH, Murata 11R104C) + C_NMH3 (3.3µF X7R) reduces NMH output ripple from 150mV p-p (spec max) to 5mV p-p. Inductor must have SRF &gt;20MHz and rated current ≥67mA. DC resistance must be low enough that voltage drop is &lt;2% of 15V = &lt;300mV at 67mA (so DCR &lt;4.5Ω). Murata 11R104C meets all these requirements.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</si>
</sst>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4A148C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9"/>
      <color rgb="FF1A237E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9"/>
      <color rgb="FF004D4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880E4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D3557"/>
        <bgColor rgb="FF1A237E"/>
      </patternFill>
    </fill>
    <fill>
      <patternFill patternType="solid">
        <fgColor rgb="FF1F4E79"/>
        <bgColor rgb="FF0D47A1"/>
      </patternFill>
    </fill>
    <fill>
      <patternFill patternType="solid">
        <fgColor rgb="FFEDE7F6"/>
        <bgColor rgb="FFE8EAF6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E8EAF6"/>
        <bgColor rgb="FFEDE7F6"/>
      </patternFill>
    </fill>
    <fill>
      <patternFill patternType="solid">
        <fgColor rgb="FFE3F2FD"/>
        <bgColor rgb="FFE0F2F1"/>
      </patternFill>
    </fill>
    <fill>
      <patternFill patternType="solid">
        <fgColor rgb="FFE0F2F1"/>
        <bgColor rgb="FFE3F2FD"/>
      </patternFill>
    </fill>
    <fill>
      <patternFill patternType="solid">
        <fgColor rgb="FFFFF8E1"/>
        <bgColor rgb="FFF8F9FA"/>
      </patternFill>
    </fill>
    <fill>
      <patternFill patternType="solid">
        <fgColor rgb="FFFCE4EC"/>
        <bgColor rgb="FFEDE7F6"/>
      </patternFill>
    </fill>
    <fill>
      <patternFill patternType="solid">
        <fgColor rgb="FFE8F5E9"/>
        <bgColor rgb="FFE0F2F1"/>
      </patternFill>
    </fill>
    <fill>
      <patternFill patternType="solid">
        <fgColor rgb="FFFFF9C4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8080"/>
      <rgbColor rgb="FFCCCCCC"/>
      <rgbColor rgb="FF808080"/>
      <rgbColor rgb="FF9999FF"/>
      <rgbColor rgb="FF993366"/>
      <rgbColor rgb="FFFFF9C4"/>
      <rgbColor rgb="FFE0F2F1"/>
      <rgbColor rgb="FF4A148C"/>
      <rgbColor rgb="FFFF8080"/>
      <rgbColor rgb="FF0563C1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8E1"/>
      <rgbColor rgb="FFE8EAF6"/>
      <rgbColor rgb="FFF8F9FA"/>
      <rgbColor rgb="FFCC99FF"/>
      <rgbColor rgb="FFFCE4EC"/>
      <rgbColor rgb="FF0D47A1"/>
      <rgbColor rgb="FF33CCCC"/>
      <rgbColor rgb="FF99CC00"/>
      <rgbColor rgb="FFFFCC00"/>
      <rgbColor rgb="FFFF9900"/>
      <rgbColor rgb="FFE65100"/>
      <rgbColor rgb="FF666699"/>
      <rgbColor rgb="FF969696"/>
      <rgbColor rgb="FF1D3557"/>
      <rgbColor rgb="FF339966"/>
      <rgbColor rgb="FF004D40"/>
      <rgbColor rgb="FF333300"/>
      <rgbColor rgb="FF993300"/>
      <rgbColor rgb="FF993366"/>
      <rgbColor rgb="FF1A237E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"/>
    <col collapsed="false" customWidth="true" hidden="false" outlineLevel="0" max="3" min="3" style="1" width="36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44"/>
    <col collapsed="false" customWidth="true" hidden="false" outlineLevel="0" max="10" min="10" style="0" width="22"/>
    <col collapsed="false" customWidth="true" hidden="false" outlineLevel="0" max="11" min="11" style="0" width="55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customFormat="false" ht="30" hidden="false" customHeight="true" outlineLevel="0" collapsed="false">
      <c r="A2" s="4" t="s">
        <v>11</v>
      </c>
      <c r="B2" s="5" t="s">
        <v>12</v>
      </c>
      <c r="C2" s="5" t="s">
        <v>13</v>
      </c>
      <c r="D2" s="6" t="s">
        <v>14</v>
      </c>
      <c r="E2" s="5" t="s">
        <v>15</v>
      </c>
      <c r="F2" s="5" t="n">
        <v>1</v>
      </c>
      <c r="G2" s="5" t="n">
        <v>5</v>
      </c>
      <c r="H2" s="7" t="n">
        <f aca="false">F2*G2</f>
        <v>5</v>
      </c>
      <c r="I2" s="6" t="s">
        <v>16</v>
      </c>
      <c r="J2" s="8" t="s">
        <v>17</v>
      </c>
      <c r="K2" s="9" t="str">
        <f aca="false">HYPERLINK("https://www.digikey.com/en/products/detail/vishay-dale/RN60D4R70FB14/3353538","RN60D4R70FB14 @ DigiKey")</f>
        <v>RN60D4R70FB14 @ DigiKey</v>
      </c>
    </row>
    <row r="3" customFormat="false" ht="30" hidden="false" customHeight="true" outlineLevel="0" collapsed="false">
      <c r="A3" s="4" t="s">
        <v>11</v>
      </c>
      <c r="B3" s="10" t="s">
        <v>18</v>
      </c>
      <c r="C3" s="10" t="s">
        <v>19</v>
      </c>
      <c r="D3" s="11" t="s">
        <v>20</v>
      </c>
      <c r="E3" s="10" t="s">
        <v>21</v>
      </c>
      <c r="F3" s="10" t="n">
        <v>1</v>
      </c>
      <c r="G3" s="10" t="n">
        <v>5</v>
      </c>
      <c r="H3" s="12" t="n">
        <f aca="false">F3*G3</f>
        <v>5</v>
      </c>
      <c r="I3" s="11" t="s">
        <v>22</v>
      </c>
      <c r="J3" s="8" t="s">
        <v>23</v>
      </c>
      <c r="K3" s="9" t="str">
        <f aca="false">HYPERLINK("https://www.digikey.com/en/products/detail/panasonic-electronic-components/EEU-FR1C101B/2504097","EEU-FR1C101B @ DigiKey")</f>
        <v>EEU-FR1C101B @ DigiKey</v>
      </c>
    </row>
    <row r="4" customFormat="false" ht="30" hidden="false" customHeight="true" outlineLevel="0" collapsed="false">
      <c r="A4" s="4" t="s">
        <v>11</v>
      </c>
      <c r="B4" s="5" t="s">
        <v>24</v>
      </c>
      <c r="C4" s="5" t="s">
        <v>25</v>
      </c>
      <c r="D4" s="6" t="s">
        <v>26</v>
      </c>
      <c r="E4" s="5" t="s">
        <v>27</v>
      </c>
      <c r="F4" s="5" t="n">
        <v>1</v>
      </c>
      <c r="G4" s="5" t="n">
        <v>5</v>
      </c>
      <c r="H4" s="7" t="n">
        <f aca="false">F4*G4</f>
        <v>5</v>
      </c>
      <c r="I4" s="6" t="s">
        <v>28</v>
      </c>
      <c r="J4" s="8" t="s">
        <v>29</v>
      </c>
      <c r="K4" s="9" t="str">
        <f aca="false">HYPERLINK("https://www.digikey.com/en/products/detail/kemet/C330C105K5R5TA7301/3726162","C330C105K5R5TA7301 @ DigiKey")</f>
        <v>C330C105K5R5TA7301 @ DigiKey</v>
      </c>
    </row>
    <row r="5" customFormat="false" ht="30" hidden="false" customHeight="true" outlineLevel="0" collapsed="false">
      <c r="A5" s="13" t="s">
        <v>30</v>
      </c>
      <c r="B5" s="10" t="s">
        <v>31</v>
      </c>
      <c r="C5" s="10" t="s">
        <v>32</v>
      </c>
      <c r="D5" s="11" t="s">
        <v>33</v>
      </c>
      <c r="E5" s="10" t="s">
        <v>34</v>
      </c>
      <c r="F5" s="10" t="n">
        <v>1</v>
      </c>
      <c r="G5" s="10" t="n">
        <v>5</v>
      </c>
      <c r="H5" s="12" t="n">
        <f aca="false">F5*G5</f>
        <v>5</v>
      </c>
      <c r="I5" s="11" t="s">
        <v>35</v>
      </c>
      <c r="J5" s="8" t="s">
        <v>36</v>
      </c>
      <c r="K5" s="9" t="str">
        <f aca="false">HYPERLINK("https://www.digikey.com/en/products/detail/murata-power-solutions-inc/NMH0515SC/1927072","NMH0515SC @ DigiKey")</f>
        <v>NMH0515SC @ DigiKey</v>
      </c>
    </row>
    <row r="6" customFormat="false" ht="30" hidden="false" customHeight="true" outlineLevel="0" collapsed="false">
      <c r="A6" s="13" t="s">
        <v>30</v>
      </c>
      <c r="B6" s="5" t="s">
        <v>37</v>
      </c>
      <c r="C6" s="5" t="s">
        <v>38</v>
      </c>
      <c r="D6" s="6" t="s">
        <v>39</v>
      </c>
      <c r="E6" s="5" t="s">
        <v>15</v>
      </c>
      <c r="F6" s="5" t="n">
        <v>1</v>
      </c>
      <c r="G6" s="5" t="n">
        <v>5</v>
      </c>
      <c r="H6" s="7" t="n">
        <f aca="false">F6*G6</f>
        <v>5</v>
      </c>
      <c r="I6" s="6" t="s">
        <v>40</v>
      </c>
      <c r="J6" s="8" t="s">
        <v>41</v>
      </c>
      <c r="K6" s="9" t="str">
        <f aca="false">HYPERLINK("https://www.digikey.com/en/products/detail/vishay-dale/RN60D2201FB14/3193882","RN60D2201FB14 @ DigiKey")</f>
        <v>RN60D2201FB14 @ DigiKey</v>
      </c>
    </row>
    <row r="7" customFormat="false" ht="30" hidden="false" customHeight="true" outlineLevel="0" collapsed="false">
      <c r="A7" s="14" t="s">
        <v>42</v>
      </c>
      <c r="B7" s="10" t="s">
        <v>43</v>
      </c>
      <c r="C7" s="10" t="s">
        <v>44</v>
      </c>
      <c r="D7" s="11" t="s">
        <v>45</v>
      </c>
      <c r="E7" s="10" t="s">
        <v>46</v>
      </c>
      <c r="F7" s="10" t="n">
        <v>1</v>
      </c>
      <c r="G7" s="10" t="n">
        <v>5</v>
      </c>
      <c r="H7" s="12" t="n">
        <f aca="false">F7*G7</f>
        <v>5</v>
      </c>
      <c r="I7" s="11" t="s">
        <v>47</v>
      </c>
      <c r="J7" s="8" t="s">
        <v>48</v>
      </c>
      <c r="K7" s="9" t="str">
        <f aca="false">HYPERLINK("https://www.digikey.com/en/products/detail/onsemi/MC7809CTG/1481254","MC7809CTG @ DigiKey")</f>
        <v>MC7809CTG @ DigiKey</v>
      </c>
    </row>
    <row r="8" customFormat="false" ht="30" hidden="false" customHeight="true" outlineLevel="0" collapsed="false">
      <c r="A8" s="14" t="s">
        <v>42</v>
      </c>
      <c r="B8" s="5" t="s">
        <v>49</v>
      </c>
      <c r="C8" s="5" t="s">
        <v>50</v>
      </c>
      <c r="D8" s="6" t="s">
        <v>51</v>
      </c>
      <c r="E8" s="5" t="s">
        <v>52</v>
      </c>
      <c r="F8" s="5" t="n">
        <v>1</v>
      </c>
      <c r="G8" s="5" t="n">
        <v>5</v>
      </c>
      <c r="H8" s="7" t="n">
        <f aca="false">F8*G8</f>
        <v>5</v>
      </c>
      <c r="I8" s="6" t="s">
        <v>53</v>
      </c>
      <c r="J8" s="8" t="s">
        <v>54</v>
      </c>
      <c r="K8" s="9" t="str">
        <f aca="false">HYPERLINK("https://www.digikey.com/en/products/detail/panasonic-electronic-components/ECE-A1EN100UB/2689105","ECE-A1EN100UB @ DigiKey")</f>
        <v>ECE-A1EN100UB @ DigiKey</v>
      </c>
    </row>
    <row r="9" customFormat="false" ht="30" hidden="false" customHeight="true" outlineLevel="0" collapsed="false">
      <c r="A9" s="14" t="s">
        <v>42</v>
      </c>
      <c r="B9" s="10" t="s">
        <v>55</v>
      </c>
      <c r="C9" s="10" t="s">
        <v>56</v>
      </c>
      <c r="D9" s="11" t="s">
        <v>57</v>
      </c>
      <c r="E9" s="10" t="s">
        <v>58</v>
      </c>
      <c r="F9" s="10" t="n">
        <v>1</v>
      </c>
      <c r="G9" s="10" t="n">
        <v>5</v>
      </c>
      <c r="H9" s="12" t="n">
        <f aca="false">F9*G9</f>
        <v>5</v>
      </c>
      <c r="I9" s="11" t="s">
        <v>59</v>
      </c>
      <c r="J9" s="8" t="s">
        <v>60</v>
      </c>
      <c r="K9" s="9" t="str">
        <f aca="false">HYPERLINK("https://www.digikey.com/en/products/detail/murata-power-solutions-inc/11R104C/1998217","11R104C @ DigiKey")</f>
        <v>11R104C @ DigiKey</v>
      </c>
    </row>
    <row r="10" customFormat="false" ht="30" hidden="false" customHeight="true" outlineLevel="0" collapsed="false">
      <c r="A10" s="14" t="s">
        <v>42</v>
      </c>
      <c r="B10" s="5" t="s">
        <v>61</v>
      </c>
      <c r="C10" s="5" t="s">
        <v>62</v>
      </c>
      <c r="D10" s="6" t="s">
        <v>63</v>
      </c>
      <c r="E10" s="5" t="s">
        <v>64</v>
      </c>
      <c r="F10" s="5" t="n">
        <v>1</v>
      </c>
      <c r="G10" s="5" t="n">
        <v>5</v>
      </c>
      <c r="H10" s="7" t="n">
        <f aca="false">F10*G10</f>
        <v>5</v>
      </c>
      <c r="I10" s="6" t="s">
        <v>65</v>
      </c>
      <c r="J10" s="8" t="s">
        <v>66</v>
      </c>
      <c r="K10" s="9" t="str">
        <f aca="false">HYPERLINK("https://www.digikey.com/en/products/detail/nichicon/UPW1E4R7MDD1TD/4320496","UPW1E4R7MDD1TD @ DigiKey")</f>
        <v>UPW1E4R7MDD1TD @ DigiKey</v>
      </c>
    </row>
    <row r="11" customFormat="false" ht="30" hidden="false" customHeight="true" outlineLevel="0" collapsed="false">
      <c r="A11" s="14" t="s">
        <v>42</v>
      </c>
      <c r="B11" s="10" t="s">
        <v>67</v>
      </c>
      <c r="C11" s="10" t="s">
        <v>68</v>
      </c>
      <c r="D11" s="11" t="s">
        <v>69</v>
      </c>
      <c r="E11" s="10" t="s">
        <v>70</v>
      </c>
      <c r="F11" s="10" t="n">
        <v>1</v>
      </c>
      <c r="G11" s="10" t="n">
        <v>5</v>
      </c>
      <c r="H11" s="12" t="n">
        <f aca="false">F11*G11</f>
        <v>5</v>
      </c>
      <c r="I11" s="11" t="s">
        <v>71</v>
      </c>
      <c r="J11" s="8" t="s">
        <v>72</v>
      </c>
      <c r="K11" s="9" t="str">
        <f aca="false">HYPERLINK("https://www.digikey.com/en/products/detail/vishay-beyschlag-draloric-bc-components/K104K15X7RF53L2/2820506","K104K15X7RF53L2 @ DigiKey")</f>
        <v>K104K15X7RF53L2 @ DigiKey</v>
      </c>
    </row>
    <row r="12" customFormat="false" ht="30" hidden="false" customHeight="true" outlineLevel="0" collapsed="false">
      <c r="A12" s="14" t="s">
        <v>42</v>
      </c>
      <c r="B12" s="5" t="s">
        <v>73</v>
      </c>
      <c r="C12" s="5" t="s">
        <v>74</v>
      </c>
      <c r="D12" s="6" t="s">
        <v>20</v>
      </c>
      <c r="E12" s="5" t="s">
        <v>21</v>
      </c>
      <c r="F12" s="5" t="n">
        <v>1</v>
      </c>
      <c r="G12" s="5" t="n">
        <v>5</v>
      </c>
      <c r="H12" s="7" t="n">
        <f aca="false">F12*G12</f>
        <v>5</v>
      </c>
      <c r="I12" s="6" t="s">
        <v>75</v>
      </c>
      <c r="J12" s="8" t="s">
        <v>23</v>
      </c>
      <c r="K12" s="9" t="str">
        <f aca="false">HYPERLINK("https://www.digikey.com/en/products/detail/panasonic-electronic-components/EEU-FR1C101B/2504097","EEU-FR1C101B @ DigiKey")</f>
        <v>EEU-FR1C101B @ DigiKey</v>
      </c>
    </row>
    <row r="13" customFormat="false" ht="30" hidden="false" customHeight="true" outlineLevel="0" collapsed="false">
      <c r="A13" s="14" t="s">
        <v>42</v>
      </c>
      <c r="B13" s="10" t="s">
        <v>76</v>
      </c>
      <c r="C13" s="10" t="s">
        <v>77</v>
      </c>
      <c r="D13" s="11" t="s">
        <v>69</v>
      </c>
      <c r="E13" s="10" t="s">
        <v>70</v>
      </c>
      <c r="F13" s="10" t="n">
        <v>1</v>
      </c>
      <c r="G13" s="10" t="n">
        <v>5</v>
      </c>
      <c r="H13" s="12" t="n">
        <f aca="false">F13*G13</f>
        <v>5</v>
      </c>
      <c r="I13" s="11" t="s">
        <v>78</v>
      </c>
      <c r="J13" s="8" t="s">
        <v>72</v>
      </c>
      <c r="K13" s="9" t="str">
        <f aca="false">HYPERLINK("https://www.digikey.com/en/products/detail/vishay-beyschlag-draloric-bc-components/K104K15X7RF53L2/2820506","K104K15X7RF53L2 @ DigiKey")</f>
        <v>K104K15X7RF53L2 @ DigiKey</v>
      </c>
    </row>
    <row r="14" customFormat="false" ht="30" hidden="false" customHeight="true" outlineLevel="0" collapsed="false">
      <c r="A14" s="14" t="s">
        <v>79</v>
      </c>
      <c r="B14" s="5" t="s">
        <v>80</v>
      </c>
      <c r="C14" s="5" t="s">
        <v>81</v>
      </c>
      <c r="D14" s="6" t="s">
        <v>82</v>
      </c>
      <c r="E14" s="5" t="s">
        <v>15</v>
      </c>
      <c r="F14" s="5" t="n">
        <v>1</v>
      </c>
      <c r="G14" s="5" t="n">
        <v>5</v>
      </c>
      <c r="H14" s="7" t="n">
        <f aca="false">F14*G14</f>
        <v>5</v>
      </c>
      <c r="I14" s="6" t="s">
        <v>83</v>
      </c>
      <c r="J14" s="8" t="s">
        <v>84</v>
      </c>
      <c r="K14" s="9" t="str">
        <f aca="false">HYPERLINK("https://www.digikey.com/en/products/detail/vishay-dale/RN60D47R0FB14/3353755","RN60D47R0FB14 @ DigiKey")</f>
        <v>RN60D47R0FB14 @ DigiKey</v>
      </c>
    </row>
    <row r="15" customFormat="false" ht="30" hidden="false" customHeight="true" outlineLevel="0" collapsed="false">
      <c r="A15" s="14" t="s">
        <v>79</v>
      </c>
      <c r="B15" s="10" t="s">
        <v>85</v>
      </c>
      <c r="C15" s="10" t="s">
        <v>86</v>
      </c>
      <c r="D15" s="11" t="s">
        <v>20</v>
      </c>
      <c r="E15" s="10" t="s">
        <v>21</v>
      </c>
      <c r="F15" s="10" t="n">
        <v>1</v>
      </c>
      <c r="G15" s="10" t="n">
        <v>5</v>
      </c>
      <c r="H15" s="12" t="n">
        <f aca="false">F15*G15</f>
        <v>5</v>
      </c>
      <c r="I15" s="11" t="s">
        <v>87</v>
      </c>
      <c r="J15" s="8" t="s">
        <v>23</v>
      </c>
      <c r="K15" s="9" t="str">
        <f aca="false">HYPERLINK("https://www.digikey.com/en/products/detail/panasonic-electronic-components/EEU-FR1C101B/2504097","EEU-FR1C101B @ DigiKey")</f>
        <v>EEU-FR1C101B @ DigiKey</v>
      </c>
    </row>
    <row r="16" customFormat="false" ht="30" hidden="false" customHeight="true" outlineLevel="0" collapsed="false">
      <c r="A16" s="14" t="s">
        <v>79</v>
      </c>
      <c r="B16" s="5" t="s">
        <v>88</v>
      </c>
      <c r="C16" s="5" t="s">
        <v>89</v>
      </c>
      <c r="D16" s="6" t="s">
        <v>69</v>
      </c>
      <c r="E16" s="5" t="s">
        <v>70</v>
      </c>
      <c r="F16" s="5" t="n">
        <v>1</v>
      </c>
      <c r="G16" s="5" t="n">
        <v>5</v>
      </c>
      <c r="H16" s="7" t="n">
        <f aca="false">F16*G16</f>
        <v>5</v>
      </c>
      <c r="I16" s="6" t="s">
        <v>90</v>
      </c>
      <c r="J16" s="8" t="s">
        <v>72</v>
      </c>
      <c r="K16" s="9" t="str">
        <f aca="false">HYPERLINK("https://www.digikey.com/en/products/detail/vishay-beyschlag-draloric-bc-components/K104K15X7RF53L2/2820506","K104K15X7RF53L2 @ DigiKey")</f>
        <v>K104K15X7RF53L2 @ DigiKey</v>
      </c>
    </row>
    <row r="17" customFormat="false" ht="30" hidden="false" customHeight="true" outlineLevel="0" collapsed="false">
      <c r="A17" s="15" t="s">
        <v>91</v>
      </c>
      <c r="B17" s="10" t="s">
        <v>92</v>
      </c>
      <c r="C17" s="10" t="s">
        <v>93</v>
      </c>
      <c r="D17" s="11" t="s">
        <v>94</v>
      </c>
      <c r="E17" s="10" t="s">
        <v>21</v>
      </c>
      <c r="F17" s="10" t="n">
        <v>2</v>
      </c>
      <c r="G17" s="10" t="n">
        <v>5</v>
      </c>
      <c r="H17" s="12" t="n">
        <f aca="false">F17*G17</f>
        <v>10</v>
      </c>
      <c r="I17" s="11" t="s">
        <v>95</v>
      </c>
    </row>
    <row r="18" customFormat="false" ht="30" hidden="false" customHeight="true" outlineLevel="0" collapsed="false">
      <c r="A18" s="15" t="s">
        <v>91</v>
      </c>
      <c r="B18" s="5" t="s">
        <v>96</v>
      </c>
      <c r="C18" s="5" t="s">
        <v>97</v>
      </c>
      <c r="D18" s="6" t="s">
        <v>98</v>
      </c>
      <c r="E18" s="5" t="s">
        <v>99</v>
      </c>
      <c r="F18" s="5" t="n">
        <v>2</v>
      </c>
      <c r="G18" s="5" t="n">
        <v>5</v>
      </c>
      <c r="H18" s="7" t="n">
        <f aca="false">F18*G18</f>
        <v>10</v>
      </c>
      <c r="I18" s="6" t="s">
        <v>100</v>
      </c>
    </row>
    <row r="19" customFormat="false" ht="30" hidden="false" customHeight="true" outlineLevel="0" collapsed="false">
      <c r="A19" s="16" t="s">
        <v>101</v>
      </c>
      <c r="B19" s="10" t="s">
        <v>102</v>
      </c>
      <c r="C19" s="10" t="s">
        <v>103</v>
      </c>
      <c r="D19" s="11" t="s">
        <v>104</v>
      </c>
      <c r="E19" s="10" t="s">
        <v>105</v>
      </c>
      <c r="F19" s="10" t="n">
        <v>2</v>
      </c>
      <c r="G19" s="10" t="n">
        <v>5</v>
      </c>
      <c r="H19" s="12" t="n">
        <f aca="false">F19*G19</f>
        <v>10</v>
      </c>
      <c r="I19" s="11" t="s">
        <v>106</v>
      </c>
    </row>
    <row r="20" customFormat="false" ht="30" hidden="false" customHeight="true" outlineLevel="0" collapsed="false">
      <c r="A20" s="16" t="s">
        <v>101</v>
      </c>
      <c r="B20" s="5" t="s">
        <v>107</v>
      </c>
      <c r="C20" s="5" t="s">
        <v>108</v>
      </c>
      <c r="D20" s="6" t="s">
        <v>104</v>
      </c>
      <c r="E20" s="5" t="s">
        <v>105</v>
      </c>
      <c r="F20" s="5" t="n">
        <v>2</v>
      </c>
      <c r="G20" s="5" t="n">
        <v>5</v>
      </c>
      <c r="H20" s="7" t="n">
        <f aca="false">F20*G20</f>
        <v>10</v>
      </c>
      <c r="I20" s="6" t="s">
        <v>109</v>
      </c>
    </row>
    <row r="21" customFormat="false" ht="30" hidden="false" customHeight="true" outlineLevel="0" collapsed="false">
      <c r="A21" s="16" t="s">
        <v>101</v>
      </c>
      <c r="B21" s="10" t="s">
        <v>110</v>
      </c>
      <c r="C21" s="10" t="s">
        <v>111</v>
      </c>
      <c r="D21" s="11" t="s">
        <v>112</v>
      </c>
      <c r="E21" s="10" t="s">
        <v>15</v>
      </c>
      <c r="F21" s="10" t="n">
        <v>2</v>
      </c>
      <c r="G21" s="10" t="n">
        <v>5</v>
      </c>
      <c r="H21" s="12" t="n">
        <f aca="false">F21*G21</f>
        <v>10</v>
      </c>
      <c r="I21" s="11" t="s">
        <v>113</v>
      </c>
    </row>
    <row r="22" customFormat="false" ht="30" hidden="false" customHeight="true" outlineLevel="0" collapsed="false">
      <c r="A22" s="16" t="s">
        <v>101</v>
      </c>
      <c r="B22" s="5" t="s">
        <v>114</v>
      </c>
      <c r="C22" s="5" t="s">
        <v>115</v>
      </c>
      <c r="D22" s="6" t="s">
        <v>116</v>
      </c>
      <c r="E22" s="5" t="s">
        <v>15</v>
      </c>
      <c r="F22" s="5" t="n">
        <v>16</v>
      </c>
      <c r="G22" s="5" t="n">
        <v>5</v>
      </c>
      <c r="H22" s="7" t="n">
        <f aca="false">F22*G22</f>
        <v>80</v>
      </c>
      <c r="I22" s="6" t="s">
        <v>117</v>
      </c>
    </row>
    <row r="23" customFormat="false" ht="30" hidden="false" customHeight="true" outlineLevel="0" collapsed="false">
      <c r="A23" s="16" t="s">
        <v>101</v>
      </c>
      <c r="B23" s="10" t="s">
        <v>118</v>
      </c>
      <c r="C23" s="10" t="s">
        <v>119</v>
      </c>
      <c r="D23" s="11" t="s">
        <v>120</v>
      </c>
      <c r="E23" s="10" t="s">
        <v>21</v>
      </c>
      <c r="F23" s="10" t="n">
        <v>12</v>
      </c>
      <c r="G23" s="10" t="n">
        <v>5</v>
      </c>
      <c r="H23" s="12" t="n">
        <f aca="false">F23*G23</f>
        <v>60</v>
      </c>
      <c r="I23" s="11" t="s">
        <v>121</v>
      </c>
    </row>
    <row r="24" customFormat="false" ht="30" hidden="false" customHeight="true" outlineLevel="0" collapsed="false">
      <c r="A24" s="16" t="s">
        <v>101</v>
      </c>
      <c r="B24" s="5" t="s">
        <v>122</v>
      </c>
      <c r="C24" s="5" t="s">
        <v>123</v>
      </c>
      <c r="D24" s="6" t="s">
        <v>124</v>
      </c>
      <c r="E24" s="5" t="s">
        <v>125</v>
      </c>
      <c r="F24" s="5" t="n">
        <v>2</v>
      </c>
      <c r="G24" s="5" t="n">
        <v>5</v>
      </c>
      <c r="H24" s="7" t="n">
        <f aca="false">F24*G24</f>
        <v>10</v>
      </c>
      <c r="I24" s="6" t="s">
        <v>126</v>
      </c>
    </row>
    <row r="25" customFormat="false" ht="30" hidden="false" customHeight="true" outlineLevel="0" collapsed="false">
      <c r="A25" s="17" t="s">
        <v>127</v>
      </c>
      <c r="B25" s="10" t="s">
        <v>128</v>
      </c>
      <c r="C25" s="10" t="s">
        <v>129</v>
      </c>
      <c r="D25" s="11" t="s">
        <v>124</v>
      </c>
      <c r="E25" s="10" t="s">
        <v>125</v>
      </c>
      <c r="F25" s="10" t="n">
        <v>1</v>
      </c>
      <c r="G25" s="10" t="n">
        <v>5</v>
      </c>
      <c r="H25" s="12" t="n">
        <f aca="false">F25*G25</f>
        <v>5</v>
      </c>
      <c r="I25" s="11" t="s">
        <v>130</v>
      </c>
    </row>
    <row r="26" customFormat="false" ht="30" hidden="false" customHeight="true" outlineLevel="0" collapsed="false">
      <c r="A26" s="17" t="s">
        <v>127</v>
      </c>
      <c r="B26" s="5" t="s">
        <v>131</v>
      </c>
      <c r="C26" s="5" t="s">
        <v>132</v>
      </c>
      <c r="D26" s="6" t="s">
        <v>133</v>
      </c>
      <c r="E26" s="5" t="s">
        <v>134</v>
      </c>
      <c r="F26" s="5" t="n">
        <v>1</v>
      </c>
      <c r="G26" s="5" t="n">
        <v>5</v>
      </c>
      <c r="H26" s="7" t="n">
        <f aca="false">F26*G26</f>
        <v>5</v>
      </c>
      <c r="I26" s="6" t="s">
        <v>135</v>
      </c>
      <c r="J26" s="8" t="s">
        <v>136</v>
      </c>
      <c r="K26" s="9" t="str">
        <f aca="false">HYPERLINK("https://www.digikey.com/en/products/detail/w%C3%BCrth-elektronik/61201621621/2060591","61201621621 @ DigiKey")</f>
        <v>61201621621 @ DigiKey</v>
      </c>
    </row>
    <row r="27" customFormat="false" ht="30" hidden="false" customHeight="true" outlineLevel="0" collapsed="false">
      <c r="A27" s="17" t="s">
        <v>127</v>
      </c>
      <c r="B27" s="10" t="s">
        <v>137</v>
      </c>
      <c r="C27" s="10" t="s">
        <v>138</v>
      </c>
      <c r="D27" s="11" t="s">
        <v>139</v>
      </c>
      <c r="E27" s="10" t="s">
        <v>140</v>
      </c>
      <c r="F27" s="10" t="n">
        <v>2</v>
      </c>
      <c r="G27" s="10" t="n">
        <v>5</v>
      </c>
      <c r="H27" s="12" t="n">
        <f aca="false">F27*G27</f>
        <v>10</v>
      </c>
      <c r="I27" s="11" t="s">
        <v>141</v>
      </c>
    </row>
    <row r="29" customFormat="false" ht="15" hidden="false" customHeight="true" outlineLevel="0" collapsed="false">
      <c r="A29" s="18" t="s">
        <v>142</v>
      </c>
      <c r="H29" s="19" t="n">
        <f aca="false">SUM(H2:H27)</f>
        <v>295</v>
      </c>
      <c r="I29" s="20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22"/>
    <col collapsed="false" customWidth="true" hidden="false" outlineLevel="0" max="5" min="5" style="1" width="30"/>
  </cols>
  <sheetData>
    <row r="1" customFormat="false" ht="24" hidden="false" customHeight="true" outlineLevel="0" collapsed="false">
      <c r="A1" s="21" t="s">
        <v>144</v>
      </c>
      <c r="B1" s="21" t="s">
        <v>145</v>
      </c>
      <c r="C1" s="21" t="s">
        <v>146</v>
      </c>
      <c r="D1" s="21" t="s">
        <v>147</v>
      </c>
      <c r="E1" s="21" t="s">
        <v>148</v>
      </c>
    </row>
    <row r="2" customFormat="false" ht="36" hidden="false" customHeight="true" outlineLevel="0" collapsed="false">
      <c r="A2" s="22" t="s">
        <v>149</v>
      </c>
      <c r="B2" s="22" t="s">
        <v>150</v>
      </c>
      <c r="C2" s="22" t="s">
        <v>151</v>
      </c>
      <c r="D2" s="22" t="s">
        <v>152</v>
      </c>
      <c r="E2" s="22" t="s">
        <v>153</v>
      </c>
    </row>
    <row r="3" customFormat="false" ht="36" hidden="false" customHeight="true" outlineLevel="0" collapsed="false">
      <c r="A3" s="23" t="s">
        <v>154</v>
      </c>
      <c r="B3" s="23" t="s">
        <v>155</v>
      </c>
      <c r="C3" s="23" t="s">
        <v>156</v>
      </c>
      <c r="D3" s="23" t="s">
        <v>157</v>
      </c>
      <c r="E3" s="23" t="s">
        <v>158</v>
      </c>
    </row>
    <row r="4" customFormat="false" ht="36" hidden="false" customHeight="true" outlineLevel="0" collapsed="false">
      <c r="A4" s="24" t="s">
        <v>159</v>
      </c>
      <c r="B4" s="24" t="s">
        <v>160</v>
      </c>
      <c r="C4" s="24" t="s">
        <v>161</v>
      </c>
      <c r="D4" s="24" t="s">
        <v>162</v>
      </c>
      <c r="E4" s="24" t="s">
        <v>163</v>
      </c>
    </row>
    <row r="5" customFormat="false" ht="36" hidden="false" customHeight="true" outlineLevel="0" collapsed="false">
      <c r="A5" s="24" t="s">
        <v>164</v>
      </c>
      <c r="B5" s="24" t="s">
        <v>165</v>
      </c>
      <c r="C5" s="24" t="s">
        <v>166</v>
      </c>
      <c r="D5" s="24" t="s">
        <v>167</v>
      </c>
      <c r="E5" s="24" t="s">
        <v>168</v>
      </c>
    </row>
    <row r="6" customFormat="false" ht="36" hidden="false" customHeight="true" outlineLevel="0" collapsed="false">
      <c r="A6" s="25" t="s">
        <v>169</v>
      </c>
      <c r="B6" s="25" t="s">
        <v>170</v>
      </c>
      <c r="C6" s="25" t="s">
        <v>171</v>
      </c>
      <c r="D6" s="25" t="s">
        <v>172</v>
      </c>
      <c r="E6" s="25" t="s">
        <v>173</v>
      </c>
    </row>
    <row r="7" customFormat="false" ht="36" hidden="false" customHeight="true" outlineLevel="0" collapsed="false">
      <c r="A7" s="26" t="s">
        <v>174</v>
      </c>
      <c r="B7" s="26" t="s">
        <v>175</v>
      </c>
      <c r="C7" s="26" t="s">
        <v>176</v>
      </c>
      <c r="D7" s="26" t="s">
        <v>177</v>
      </c>
      <c r="E7" s="26" t="s">
        <v>178</v>
      </c>
    </row>
    <row r="8" customFormat="false" ht="21.75" hidden="false" customHeight="true" outlineLevel="0" collapsed="false">
      <c r="A8" s="27" t="s">
        <v>179</v>
      </c>
      <c r="B8" s="27" t="s">
        <v>180</v>
      </c>
      <c r="C8" s="27" t="s">
        <v>181</v>
      </c>
      <c r="D8" s="27" t="s">
        <v>182</v>
      </c>
      <c r="E8" s="27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0"/>
  </cols>
  <sheetData>
    <row r="1" customFormat="false" ht="21.75" hidden="false" customHeight="true" outlineLevel="0" collapsed="false">
      <c r="A1" s="28" t="s">
        <v>184</v>
      </c>
      <c r="B1" s="28" t="s">
        <v>185</v>
      </c>
    </row>
    <row r="2" customFormat="false" ht="43.5" hidden="false" customHeight="true" outlineLevel="0" collapsed="false">
      <c r="A2" s="29" t="s">
        <v>186</v>
      </c>
      <c r="B2" s="30" t="s">
        <v>187</v>
      </c>
    </row>
    <row r="3" customFormat="false" ht="43.5" hidden="false" customHeight="true" outlineLevel="0" collapsed="false">
      <c r="A3" s="31" t="s">
        <v>188</v>
      </c>
      <c r="B3" s="32" t="s">
        <v>189</v>
      </c>
    </row>
    <row r="4" customFormat="false" ht="43.5" hidden="false" customHeight="true" outlineLevel="0" collapsed="false">
      <c r="A4" s="29" t="s">
        <v>190</v>
      </c>
      <c r="B4" s="30" t="s">
        <v>191</v>
      </c>
    </row>
    <row r="5" customFormat="false" ht="43.5" hidden="false" customHeight="true" outlineLevel="0" collapsed="false">
      <c r="A5" s="31" t="s">
        <v>192</v>
      </c>
      <c r="B5" s="32" t="s">
        <v>193</v>
      </c>
    </row>
    <row r="6" customFormat="false" ht="43.5" hidden="false" customHeight="true" outlineLevel="0" collapsed="false">
      <c r="A6" s="29" t="s">
        <v>194</v>
      </c>
      <c r="B6" s="30" t="s">
        <v>195</v>
      </c>
    </row>
    <row r="7" customFormat="false" ht="43.5" hidden="false" customHeight="true" outlineLevel="0" collapsed="false">
      <c r="A7" s="31" t="s">
        <v>196</v>
      </c>
      <c r="B7" s="32" t="s">
        <v>197</v>
      </c>
    </row>
    <row r="8" customFormat="false" ht="43.5" hidden="false" customHeight="true" outlineLevel="0" collapsed="false">
      <c r="A8" s="29" t="s">
        <v>198</v>
      </c>
      <c r="B8" s="30" t="s">
        <v>199</v>
      </c>
    </row>
    <row r="9" customFormat="false" ht="43.5" hidden="false" customHeight="true" outlineLevel="0" collapsed="false">
      <c r="A9" s="31" t="s">
        <v>200</v>
      </c>
      <c r="B9" s="32" t="s">
        <v>201</v>
      </c>
    </row>
    <row r="10" customFormat="false" ht="43.5" hidden="false" customHeight="true" outlineLevel="0" collapsed="false">
      <c r="A10" s="29" t="s">
        <v>202</v>
      </c>
      <c r="B10" s="30" t="s">
        <v>203</v>
      </c>
    </row>
    <row r="11" customFormat="false" ht="43.5" hidden="false" customHeight="true" outlineLevel="0" collapsed="false">
      <c r="A11" s="31" t="s">
        <v>204</v>
      </c>
      <c r="B11" s="32" t="s">
        <v>205</v>
      </c>
    </row>
    <row r="12" customFormat="false" ht="43.5" hidden="false" customHeight="true" outlineLevel="0" collapsed="false">
      <c r="A12" s="29" t="s">
        <v>206</v>
      </c>
      <c r="B12" s="30" t="s">
        <v>207</v>
      </c>
    </row>
    <row r="13" customFormat="false" ht="60" hidden="false" customHeight="true" outlineLevel="0" collapsed="false">
      <c r="A13" s="31" t="s">
        <v>208</v>
      </c>
      <c r="B13" s="32" t="s">
        <v>209</v>
      </c>
    </row>
    <row r="14" customFormat="false" ht="60" hidden="false" customHeight="true" outlineLevel="0" collapsed="false">
      <c r="A14" s="29" t="s">
        <v>210</v>
      </c>
      <c r="B14" s="30" t="s">
        <v>211</v>
      </c>
    </row>
    <row r="15" customFormat="false" ht="60" hidden="false" customHeight="true" outlineLevel="0" collapsed="false">
      <c r="A15" s="31" t="s">
        <v>212</v>
      </c>
      <c r="B15" s="3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2026-03-25T11:06:02Z</dcterms:created>
  <dc:creator>openpyxl</dc:creator>
  <dc:description/>
  <dc:language>en-US</dc:language>
  <cp:lastModifiedBy/>
  <dcterms:modified xsi:type="dcterms:W3CDTF">2026-03-26T02:28:50Z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